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ad214d4fd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erty Data" sheetId="1" r:id="R24d8936d0daf4e5f"/>
    <x:sheet xmlns:r="http://schemas.openxmlformats.org/officeDocument/2006/relationships" name="Pivot Analysis" sheetId="2" r:id="Rfb421988698343cb"/>
    <x:sheet xmlns:r="http://schemas.openxmlformats.org/officeDocument/2006/relationships" name="Notes" sheetId="3" r:id="R3148875b66f0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4C6E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279e04c014cf1" /><Relationship Type="http://schemas.openxmlformats.org/officeDocument/2006/relationships/theme" Target="/xl/theme/theme1.xml" Id="R041eda28a6c4400c" /><Relationship Type="http://schemas.openxmlformats.org/officeDocument/2006/relationships/sharedStrings" Target="/xl/sharedStrings.xml" Id="R2262871ae0a7414d" /><Relationship Type="http://schemas.openxmlformats.org/officeDocument/2006/relationships/worksheet" Target="/xl/worksheets/sheet1.xml" Id="R24d8936d0daf4e5f" /><Relationship Type="http://schemas.openxmlformats.org/officeDocument/2006/relationships/worksheet" Target="/xl/worksheets/sheet2.xml" Id="Rfb421988698343cb" /><Relationship Type="http://schemas.openxmlformats.org/officeDocument/2006/relationships/worksheet" Target="/xl/worksheets/sheet3.xml" Id="R3148875b66f04f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6d693ad7694b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Property Mix by Garden Size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None</c:v>
          </c:tx>
          <c:cat>
            <c:strRef>
              <c:f>'Pivot Analysis'!$A$13:$A$14</c:f>
              <c:strCache>
                <c:ptCount val="0"/>
              </c:strCache>
            </c:strRef>
          </c:cat>
          <c:val>
            <c:numRef>
              <c:f>'Pivot Analysis'!$B$13:$B$14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Small</c:v>
          </c:tx>
          <c:cat>
            <c:strRef>
              <c:f>'Pivot Analysis'!$A$13:$A$14</c:f>
              <c:strCache>
                <c:ptCount val="0"/>
              </c:strCache>
            </c:strRef>
          </c:cat>
          <c:val>
            <c:numRef>
              <c:f>'Pivot Analysis'!$C$13:$C$14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Medium</c:v>
          </c:tx>
          <c:cat>
            <c:strRef>
              <c:f>'Pivot Analysis'!$A$13:$A$14</c:f>
              <c:strCache>
                <c:ptCount val="0"/>
              </c:strCache>
            </c:strRef>
          </c:cat>
          <c:val>
            <c:numRef>
              <c:f>'Pivot Analysis'!$D$13:$D$14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Large</c:v>
          </c:tx>
          <c:cat>
            <c:strRef>
              <c:f>'Pivot Analysis'!$A$13:$A$14</c:f>
              <c:strCache>
                <c:ptCount val="0"/>
              </c:strCache>
            </c:strRef>
          </c:cat>
          <c:val>
            <c:numRef>
              <c:f>'Pivot Analysis'!$E$13:$E$14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6d693ad7694b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pertyTable" displayName="PropertyTable" ref="A1:J57" headerRowCount="1" totalsRowCount="0" totalsRowShown="0">
  <x:tableColumns count="10">
    <x:tableColumn id="1" name="PostCode"/>
    <x:tableColumn id="2" name="Type"/>
    <x:tableColumn id="3" name="Location"/>
    <x:tableColumn id="4" name="No Bedrooms"/>
    <x:tableColumn id="5" name="No Bathrooms"/>
    <x:tableColumn id="6" name="Reception Rooms"/>
    <x:tableColumn id="7" name="Garden Size"/>
    <x:tableColumn id="8" name="Date on Market"/>
    <x:tableColumn id="9" name="Total Rooms"/>
    <x:tableColumn id="10" name="Location 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ab8f372234f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0bc547fca4541d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4" hidden="0" customWidth="1"/>
    <x:col min="9" max="9" width="12" hidden="0" customWidth="1"/>
    <x:col min="10" max="10" width="15" hidden="0" customWidth="1"/>
  </x:cols>
  <x:sheetData>
    <x:row r="1">
      <x:c r="A1" s="6" t="str">
        <x:v>PostCode</x:v>
      </x:c>
      <x:c r="B1" s="6" t="str">
        <x:v>Type</x:v>
      </x:c>
      <x:c r="C1" s="6" t="str">
        <x:v>Location</x:v>
      </x:c>
      <x:c r="D1" s="6" t="str">
        <x:v>No Bedrooms</x:v>
      </x:c>
      <x:c r="E1" s="6" t="str">
        <x:v>No Bathrooms</x:v>
      </x:c>
      <x:c r="F1" s="6" t="str">
        <x:v>Reception Rooms</x:v>
      </x:c>
      <x:c r="G1" s="6" t="str">
        <x:v>Garden Size</x:v>
      </x:c>
      <x:c r="H1" s="6" t="str">
        <x:v>Date on Market</x:v>
      </x:c>
      <x:c r="I1" s="6" t="str">
        <x:v>Total Rooms</x:v>
      </x:c>
      <x:c r="J1" s="6" t="str">
        <x:v>Location Group</x:v>
      </x:c>
    </x:row>
    <x:row r="2">
      <x:c r="A2" t="str">
        <x:v>SK13 7AZ</x:v>
      </x:c>
      <x:c r="B2" t="str">
        <x:v>Detatched</x:v>
      </x:c>
      <x:c r="C2" t="str">
        <x:v>Town</x:v>
      </x:c>
      <x:c r="D2" t="n">
        <x:v>4</x:v>
      </x:c>
      <x:c r="E2" t="n">
        <x:v>2</x:v>
      </x:c>
      <x:c r="F2" t="n">
        <x:v>3</x:v>
      </x:c>
      <x:c r="G2" t="str">
        <x:v>Medium</x:v>
      </x:c>
      <x:c r="H2" s="2" t="n">
        <x:v>43065</x:v>
      </x:c>
      <x:c r="I2" t="n">
        <x:f>D2+E2+F2</x:f>
        <x:v>9</x:v>
      </x:c>
      <x:c r="J2" t="str">
        <x:f>IF(OR(C2="Town",C2="Village"),"Urban","Non-Urban")</x:f>
        <x:v>Urban</x:v>
      </x:c>
    </x:row>
    <x:row r="3">
      <x:c r="A3" t="str">
        <x:v>SK22 9GT</x:v>
      </x:c>
      <x:c r="B3" t="str">
        <x:v>Semi-detatched</x:v>
      </x:c>
      <x:c r="C3" t="str">
        <x:v>Village</x:v>
      </x:c>
      <x:c r="D3" t="n">
        <x:v>3</x:v>
      </x:c>
      <x:c r="E3" t="n">
        <x:v>1</x:v>
      </x:c>
      <x:c r="F3" t="n">
        <x:v>2</x:v>
      </x:c>
      <x:c r="G3" t="str">
        <x:v>Small</x:v>
      </x:c>
      <x:c r="H3" s="2" t="n">
        <x:v>42934</x:v>
      </x:c>
      <x:c r="I3" t="n">
        <x:f>D3+E3+F3</x:f>
        <x:v>6</x:v>
      </x:c>
      <x:c r="J3" t="str">
        <x:f>IF(OR(C3="Town",C3="Village"),"Urban","Non-Urban")</x:f>
        <x:v>Urban</x:v>
      </x:c>
    </x:row>
    <x:row r="4">
      <x:c r="A4" t="str">
        <x:v>SK13 6DD</x:v>
      </x:c>
      <x:c r="B4" t="str">
        <x:v>Terraced</x:v>
      </x:c>
      <x:c r="C4" t="str">
        <x:v>Countryside</x:v>
      </x:c>
      <x:c r="D4" t="n">
        <x:v>2</x:v>
      </x:c>
      <x:c r="E4" t="n">
        <x:v>1</x:v>
      </x:c>
      <x:c r="F4" t="n">
        <x:v>2</x:v>
      </x:c>
      <x:c r="G4" t="str">
        <x:v>Small</x:v>
      </x:c>
      <x:c r="H4" s="2" t="n">
        <x:v>43032</x:v>
      </x:c>
      <x:c r="I4" t="n">
        <x:f>D4+E4+F4</x:f>
        <x:v>5</x:v>
      </x:c>
      <x:c r="J4" t="str">
        <x:f>IF(OR(C4="Town",C4="Village"),"Urban","Non-Urban")</x:f>
        <x:v>Non-Urban</x:v>
      </x:c>
    </x:row>
    <x:row r="5">
      <x:c r="A5" t="str">
        <x:v>SK14 8DS</x:v>
      </x:c>
      <x:c r="B5" t="str">
        <x:v>Detatched</x:v>
      </x:c>
      <x:c r="C5" t="str">
        <x:v>Town</x:v>
      </x:c>
      <x:c r="D5" t="n">
        <x:v>4</x:v>
      </x:c>
      <x:c r="E5" t="n">
        <x:v>2</x:v>
      </x:c>
      <x:c r="F5" t="n">
        <x:v>2</x:v>
      </x:c>
      <x:c r="G5" t="str">
        <x:v>Large</x:v>
      </x:c>
      <x:c r="H5" s="2" t="n">
        <x:v>43391</x:v>
      </x:c>
      <x:c r="I5" t="n">
        <x:f>D5+E5+F5</x:f>
        <x:v>8</x:v>
      </x:c>
      <x:c r="J5" t="str">
        <x:f>IF(OR(C5="Town",C5="Village"),"Urban","Non-Urban")</x:f>
        <x:v>Urban</x:v>
      </x:c>
    </x:row>
    <x:row r="6">
      <x:c r="A6" t="str">
        <x:v>SK13 7CW</x:v>
      </x:c>
      <x:c r="B6" t="str">
        <x:v>Semi-detatched</x:v>
      </x:c>
      <x:c r="C6" t="str">
        <x:v>Town</x:v>
      </x:c>
      <x:c r="D6" t="n">
        <x:v>3</x:v>
      </x:c>
      <x:c r="E6" t="n">
        <x:v>1</x:v>
      </x:c>
      <x:c r="F6" t="n">
        <x:v>2</x:v>
      </x:c>
      <x:c r="G6" t="str">
        <x:v>Medium</x:v>
      </x:c>
      <x:c r="H6" s="2" t="n">
        <x:v>43068</x:v>
      </x:c>
      <x:c r="I6" t="n">
        <x:f>D6+E6+F6</x:f>
        <x:v>6</x:v>
      </x:c>
      <x:c r="J6" t="str">
        <x:f>IF(OR(C6="Town",C6="Village"),"Urban","Non-Urban")</x:f>
        <x:v>Urban</x:v>
      </x:c>
    </x:row>
    <x:row r="7">
      <x:c r="A7" t="str">
        <x:v>SK22 3YT</x:v>
      </x:c>
      <x:c r="B7" t="str">
        <x:v>Detatched</x:v>
      </x:c>
      <x:c r="C7" t="str">
        <x:v>Remote</x:v>
      </x:c>
      <x:c r="D7" t="n">
        <x:v>4</x:v>
      </x:c>
      <x:c r="E7" t="n">
        <x:v>2</x:v>
      </x:c>
      <x:c r="F7" t="n">
        <x:v>3</x:v>
      </x:c>
      <x:c r="G7" t="str">
        <x:v>Large</x:v>
      </x:c>
      <x:c r="H7" s="2" t="n">
        <x:v>43021</x:v>
      </x:c>
      <x:c r="I7" t="n">
        <x:f>D7+E7+F7</x:f>
        <x:v>9</x:v>
      </x:c>
      <x:c r="J7" t="str">
        <x:f>IF(OR(C7="Town",C7="Village"),"Urban","Non-Urban")</x:f>
        <x:v>Non-Urban</x:v>
      </x:c>
    </x:row>
    <x:row r="8">
      <x:c r="A8" t="str">
        <x:v>SK13 4DF</x:v>
      </x:c>
      <x:c r="B8" t="str">
        <x:v>Terraced</x:v>
      </x:c>
      <x:c r="C8" t="str">
        <x:v>Town</x:v>
      </x:c>
      <x:c r="D8" t="n">
        <x:v>2</x:v>
      </x:c>
      <x:c r="E8" t="n">
        <x:v>1</x:v>
      </x:c>
      <x:c r="F8" t="n">
        <x:v>2</x:v>
      </x:c>
      <x:c r="G8" t="str">
        <x:v>Small</x:v>
      </x:c>
      <x:c r="H8" s="2" t="n">
        <x:v>42983</x:v>
      </x:c>
      <x:c r="I8" t="n">
        <x:f>D8+E8+F8</x:f>
        <x:v>5</x:v>
      </x:c>
      <x:c r="J8" t="str">
        <x:f>IF(OR(C8="Town",C8="Village"),"Urban","Non-Urban")</x:f>
        <x:v>Urban</x:v>
      </x:c>
    </x:row>
    <x:row r="9">
      <x:c r="A9" t="str">
        <x:v>SK14 7AD</x:v>
      </x:c>
      <x:c r="B9" t="str">
        <x:v>Semi-detatched</x:v>
      </x:c>
      <x:c r="C9" t="str">
        <x:v>Town</x:v>
      </x:c>
      <x:c r="D9" t="n">
        <x:v>3</x:v>
      </x:c>
      <x:c r="E9" t="n">
        <x:v>2</x:v>
      </x:c>
      <x:c r="F9" t="n">
        <x:v>2</x:v>
      </x:c>
      <x:c r="G9" t="str">
        <x:v>Medium</x:v>
      </x:c>
      <x:c r="H9" s="2" t="n">
        <x:v>43037</x:v>
      </x:c>
      <x:c r="I9" t="n">
        <x:f>D9+E9+F9</x:f>
        <x:v>7</x:v>
      </x:c>
      <x:c r="J9" t="str">
        <x:f>IF(OR(C9="Town",C9="Village"),"Urban","Non-Urban")</x:f>
        <x:v>Urban</x:v>
      </x:c>
    </x:row>
    <x:row r="10">
      <x:c r="A10" t="str">
        <x:v>SK13 2AA</x:v>
      </x:c>
      <x:c r="B10" t="str">
        <x:v>Semi-detatched</x:v>
      </x:c>
      <x:c r="C10" t="str">
        <x:v>Village</x:v>
      </x:c>
      <x:c r="D10" t="n">
        <x:v>3</x:v>
      </x:c>
      <x:c r="E10" t="n">
        <x:v>1</x:v>
      </x:c>
      <x:c r="F10" t="n">
        <x:v>2</x:v>
      </x:c>
      <x:c r="G10" t="str">
        <x:v>Large</x:v>
      </x:c>
      <x:c r="H10" s="2" t="n">
        <x:v>42958</x:v>
      </x:c>
      <x:c r="I10" t="n">
        <x:f>D10+E10+F10</x:f>
        <x:v>6</x:v>
      </x:c>
      <x:c r="J10" t="str">
        <x:f>IF(OR(C10="Town",C10="Village"),"Urban","Non-Urban")</x:f>
        <x:v>Urban</x:v>
      </x:c>
    </x:row>
    <x:row r="11">
      <x:c r="A11" t="str">
        <x:v>SK13 5YY</x:v>
      </x:c>
      <x:c r="B11" t="str">
        <x:v>Terraced</x:v>
      </x:c>
      <x:c r="C11" t="str">
        <x:v>Town</x:v>
      </x:c>
      <x:c r="D11" t="n">
        <x:v>3</x:v>
      </x:c>
      <x:c r="E11" t="n">
        <x:v>2</x:v>
      </x:c>
      <x:c r="F11" t="n">
        <x:v>1</x:v>
      </x:c>
      <x:c r="G11" t="str">
        <x:v>Small</x:v>
      </x:c>
      <x:c r="H11" s="2" t="n">
        <x:v>43038</x:v>
      </x:c>
      <x:c r="I11" t="n">
        <x:f>D11+E11+F11</x:f>
        <x:v>6</x:v>
      </x:c>
      <x:c r="J11" t="str">
        <x:f>IF(OR(C11="Town",C11="Village"),"Urban","Non-Urban")</x:f>
        <x:v>Urban</x:v>
      </x:c>
    </x:row>
    <x:row r="12">
      <x:c r="A12" t="str">
        <x:v>SK14 9FT</x:v>
      </x:c>
      <x:c r="B12" t="str">
        <x:v>Bungalow</x:v>
      </x:c>
      <x:c r="C12" t="str">
        <x:v>Countryside</x:v>
      </x:c>
      <x:c r="D12" t="n">
        <x:v>2</x:v>
      </x:c>
      <x:c r="E12" t="n">
        <x:v>2</x:v>
      </x:c>
      <x:c r="F12" t="n">
        <x:v>2</x:v>
      </x:c>
      <x:c r="G12" t="str">
        <x:v>Medium</x:v>
      </x:c>
      <x:c r="H12" s="2" t="n">
        <x:v>43055</x:v>
      </x:c>
      <x:c r="I12" t="n">
        <x:f>D12+E12+F12</x:f>
        <x:v>6</x:v>
      </x:c>
      <x:c r="J12" t="str">
        <x:f>IF(OR(C12="Town",C12="Village"),"Urban","Non-Urban")</x:f>
        <x:v>Non-Urban</x:v>
      </x:c>
    </x:row>
    <x:row r="13">
      <x:c r="A13" t="str">
        <x:v>SK23 4RF</x:v>
      </x:c>
      <x:c r="B13" t="str">
        <x:v>Flat</x:v>
      </x:c>
      <x:c r="C13" t="str">
        <x:v>Town</x:v>
      </x:c>
      <x:c r="D13" t="n">
        <x:v>1</x:v>
      </x:c>
      <x:c r="E13" t="n">
        <x:v>1</x:v>
      </x:c>
      <x:c r="F13" t="n">
        <x:v>1</x:v>
      </x:c>
      <x:c r="G13" t="str">
        <x:v>None</x:v>
      </x:c>
      <x:c r="H13" s="2" t="n">
        <x:v>43054</x:v>
      </x:c>
      <x:c r="I13" t="n">
        <x:f>D13+E13+F13</x:f>
        <x:v>3</x:v>
      </x:c>
      <x:c r="J13" t="str">
        <x:f>IF(OR(C13="Town",C13="Village"),"Urban","Non-Urban")</x:f>
        <x:v>Urban</x:v>
      </x:c>
    </x:row>
    <x:row r="14">
      <x:c r="A14" t="str">
        <x:v>SK13 1GG</x:v>
      </x:c>
      <x:c r="B14" t="str">
        <x:v>Terraced</x:v>
      </x:c>
      <x:c r="C14" t="str">
        <x:v>Town</x:v>
      </x:c>
      <x:c r="D14" t="n">
        <x:v>3</x:v>
      </x:c>
      <x:c r="E14" t="n">
        <x:v>1</x:v>
      </x:c>
      <x:c r="F14" t="n">
        <x:v>2</x:v>
      </x:c>
      <x:c r="G14" t="str">
        <x:v>Small</x:v>
      </x:c>
      <x:c r="H14" s="2" t="n">
        <x:v>43105</x:v>
      </x:c>
      <x:c r="I14" t="n">
        <x:f>D14+E14+F14</x:f>
        <x:v>6</x:v>
      </x:c>
      <x:c r="J14" t="str">
        <x:f>IF(OR(C14="Town",C14="Village"),"Urban","Non-Urban")</x:f>
        <x:v>Urban</x:v>
      </x:c>
    </x:row>
    <x:row r="15">
      <x:c r="A15" t="str">
        <x:v>SK13 6YH</x:v>
      </x:c>
      <x:c r="B15" t="str">
        <x:v>Bungalow</x:v>
      </x:c>
      <x:c r="C15" t="str">
        <x:v>Countryside</x:v>
      </x:c>
      <x:c r="D15" t="n">
        <x:v>3</x:v>
      </x:c>
      <x:c r="E15" t="n">
        <x:v>2</x:v>
      </x:c>
      <x:c r="F15" t="n">
        <x:v>2</x:v>
      </x:c>
      <x:c r="G15" t="str">
        <x:v>Large</x:v>
      </x:c>
      <x:c r="H15" s="2" t="n">
        <x:v>42993</x:v>
      </x:c>
      <x:c r="I15" t="n">
        <x:f>D15+E15+F15</x:f>
        <x:v>7</x:v>
      </x:c>
      <x:c r="J15" t="str">
        <x:f>IF(OR(C15="Town",C15="Village"),"Urban","Non-Urban")</x:f>
        <x:v>Non-Urban</x:v>
      </x:c>
    </x:row>
    <x:row r="16">
      <x:c r="A16" t="str">
        <x:v>SK13 6YH</x:v>
      </x:c>
      <x:c r="B16" t="str">
        <x:v>Bungalow</x:v>
      </x:c>
      <x:c r="C16" t="str">
        <x:v>Countryside</x:v>
      </x:c>
      <x:c r="D16" t="n">
        <x:v>3</x:v>
      </x:c>
      <x:c r="E16" t="n">
        <x:v>2</x:v>
      </x:c>
      <x:c r="F16" t="n">
        <x:v>2</x:v>
      </x:c>
      <x:c r="G16" t="str">
        <x:v>Large</x:v>
      </x:c>
      <x:c r="H16" s="2" t="n">
        <x:v>42993</x:v>
      </x:c>
      <x:c r="I16" t="n">
        <x:f>D16+E16+F16</x:f>
        <x:v>7</x:v>
      </x:c>
      <x:c r="J16" t="str">
        <x:f>IF(OR(C16="Town",C16="Village"),"Urban","Non-Urban")</x:f>
        <x:v>Non-Urban</x:v>
      </x:c>
    </x:row>
    <x:row r="17">
      <x:c r="A17" t="str">
        <x:v>SK13 6YH</x:v>
      </x:c>
      <x:c r="B17" t="str">
        <x:v>Bungalow</x:v>
      </x:c>
      <x:c r="C17" t="str">
        <x:v>Countryside</x:v>
      </x:c>
      <x:c r="D17" t="n">
        <x:v>3</x:v>
      </x:c>
      <x:c r="E17" t="n">
        <x:v>2</x:v>
      </x:c>
      <x:c r="F17" t="n">
        <x:v>2</x:v>
      </x:c>
      <x:c r="G17" t="str">
        <x:v>Large</x:v>
      </x:c>
      <x:c r="H17" s="2" t="n">
        <x:v>42993</x:v>
      </x:c>
      <x:c r="I17" t="n">
        <x:f>D17+E17+F17</x:f>
        <x:v>7</x:v>
      </x:c>
      <x:c r="J17" t="str">
        <x:f>IF(OR(C17="Town",C17="Village"),"Urban","Non-Urban")</x:f>
        <x:v>Non-Urban</x:v>
      </x:c>
    </x:row>
    <x:row r="18">
      <x:c r="A18" t="str">
        <x:v>SK13 6YH</x:v>
      </x:c>
      <x:c r="B18" t="str">
        <x:v>Bungalow</x:v>
      </x:c>
      <x:c r="C18" t="str">
        <x:v>Town</x:v>
      </x:c>
      <x:c r="D18" t="n">
        <x:v>2</x:v>
      </x:c>
      <x:c r="E18" t="n">
        <x:v>2</x:v>
      </x:c>
      <x:c r="F18" t="n">
        <x:v>2</x:v>
      </x:c>
      <x:c r="G18" t="str">
        <x:v>Medium</x:v>
      </x:c>
      <x:c r="H18" s="2" t="n">
        <x:v>42989</x:v>
      </x:c>
      <x:c r="I18" t="n">
        <x:f>D18+E18+F18</x:f>
        <x:v>6</x:v>
      </x:c>
      <x:c r="J18" t="str">
        <x:f>IF(OR(C18="Town",C18="Village"),"Urban","Non-Urban")</x:f>
        <x:v>Urban</x:v>
      </x:c>
    </x:row>
    <x:row r="19">
      <x:c r="A19" t="str">
        <x:v>SK22 8BN</x:v>
      </x:c>
      <x:c r="B19" t="str">
        <x:v>Flat</x:v>
      </x:c>
      <x:c r="C19" t="str">
        <x:v>Town</x:v>
      </x:c>
      <x:c r="D19" t="n">
        <x:v>2</x:v>
      </x:c>
      <x:c r="E19" t="n">
        <x:v>1</x:v>
      </x:c>
      <x:c r="F19" t="n">
        <x:v>1</x:v>
      </x:c>
      <x:c r="G19" t="str">
        <x:v>None</x:v>
      </x:c>
      <x:c r="H19" s="2" t="n">
        <x:v>43011</x:v>
      </x:c>
      <x:c r="I19" t="n">
        <x:f>D19+E19+F19</x:f>
        <x:v>4</x:v>
      </x:c>
      <x:c r="J19" t="str">
        <x:f>IF(OR(C19="Town",C19="Village"),"Urban","Non-Urban")</x:f>
        <x:v>Urban</x:v>
      </x:c>
    </x:row>
    <x:row r="20">
      <x:c r="A20" t="str">
        <x:v>SK14 7JJ</x:v>
      </x:c>
      <x:c r="B20" t="str">
        <x:v>Semi-detatched</x:v>
      </x:c>
      <x:c r="C20" t="str">
        <x:v>Countryside</x:v>
      </x:c>
      <x:c r="D20" t="n">
        <x:v>3</x:v>
      </x:c>
      <x:c r="E20" t="n">
        <x:v>2</x:v>
      </x:c>
      <x:c r="F20" t="n">
        <x:v>2</x:v>
      </x:c>
      <x:c r="G20" t="str">
        <x:v>Medium</x:v>
      </x:c>
      <x:c r="H20" s="2" t="n">
        <x:v>43090</x:v>
      </x:c>
      <x:c r="I20" t="n">
        <x:f>D20+E20+F20</x:f>
        <x:v>7</x:v>
      </x:c>
      <x:c r="J20" t="str">
        <x:f>IF(OR(C20="Town",C20="Village"),"Urban","Non-Urban")</x:f>
        <x:v>Non-Urban</x:v>
      </x:c>
    </x:row>
    <x:row r="21">
      <x:c r="A21" t="str">
        <x:v>SK22 3LP</x:v>
      </x:c>
      <x:c r="B21" t="str">
        <x:v>Bungalow</x:v>
      </x:c>
      <x:c r="C21" t="str">
        <x:v>Remote</x:v>
      </x:c>
      <x:c r="D21" t="n">
        <x:v>3</x:v>
      </x:c>
      <x:c r="E21" t="n">
        <x:v>2</x:v>
      </x:c>
      <x:c r="F21" t="n">
        <x:v>2</x:v>
      </x:c>
      <x:c r="G21" t="str">
        <x:v>Large</x:v>
      </x:c>
      <x:c r="H21" s="2" t="n">
        <x:v>43023</x:v>
      </x:c>
      <x:c r="I21" t="n">
        <x:f>D21+E21+F21</x:f>
        <x:v>7</x:v>
      </x:c>
      <x:c r="J21" t="str">
        <x:f>IF(OR(C21="Town",C21="Village"),"Urban","Non-Urban")</x:f>
        <x:v>Non-Urban</x:v>
      </x:c>
    </x:row>
    <x:row r="22">
      <x:c r="A22" t="str">
        <x:v>SK13 4DT</x:v>
      </x:c>
      <x:c r="B22" t="str">
        <x:v>Detatched</x:v>
      </x:c>
      <x:c r="C22" t="str">
        <x:v>Countryside</x:v>
      </x:c>
      <x:c r="D22" t="n">
        <x:v>5</x:v>
      </x:c>
      <x:c r="E22" t="n">
        <x:v>2</x:v>
      </x:c>
      <x:c r="F22" t="n">
        <x:v>3</x:v>
      </x:c>
      <x:c r="G22" t="str">
        <x:v>Large</x:v>
      </x:c>
      <x:c r="H22" s="2" t="n">
        <x:v>42956</x:v>
      </x:c>
      <x:c r="I22" t="n">
        <x:f>D22+E22+F22</x:f>
        <x:v>10</x:v>
      </x:c>
      <x:c r="J22" t="str">
        <x:f>IF(OR(C22="Town",C22="Village"),"Urban","Non-Urban")</x:f>
        <x:v>Non-Urban</x:v>
      </x:c>
    </x:row>
    <x:row r="23">
      <x:c r="A23" t="str">
        <x:v>SK13 9SS</x:v>
      </x:c>
      <x:c r="B23" t="str">
        <x:v>Detatched</x:v>
      </x:c>
      <x:c r="C23" t="str">
        <x:v>Town</x:v>
      </x:c>
      <x:c r="D23" t="n">
        <x:v>4</x:v>
      </x:c>
      <x:c r="E23" t="n">
        <x:v>3</x:v>
      </x:c>
      <x:c r="F23" t="n">
        <x:v>2</x:v>
      </x:c>
      <x:c r="G23" t="str">
        <x:v>Medium</x:v>
      </x:c>
      <x:c r="H23" s="2" t="n">
        <x:v>43053</x:v>
      </x:c>
      <x:c r="I23" t="n">
        <x:f>D23+E23+F23</x:f>
        <x:v>9</x:v>
      </x:c>
      <x:c r="J23" t="str">
        <x:f>IF(OR(C23="Town",C23="Village"),"Urban","Non-Urban")</x:f>
        <x:v>Urban</x:v>
      </x:c>
    </x:row>
    <x:row r="24">
      <x:c r="A24" t="str">
        <x:v>SK14 6HN</x:v>
      </x:c>
      <x:c r="B24" t="str">
        <x:v>Semi-detatched</x:v>
      </x:c>
      <x:c r="C24" t="str">
        <x:v>Town</x:v>
      </x:c>
      <x:c r="D24" t="n">
        <x:v>3</x:v>
      </x:c>
      <x:c r="E24" t="n">
        <x:v>1</x:v>
      </x:c>
      <x:c r="F24" t="n">
        <x:v>2</x:v>
      </x:c>
      <x:c r="G24" t="str">
        <x:v>Medium</x:v>
      </x:c>
      <x:c r="H24" s="2" t="n">
        <x:v>42953</x:v>
      </x:c>
      <x:c r="I24" t="n">
        <x:f>D24+E24+F24</x:f>
        <x:v>6</x:v>
      </x:c>
      <x:c r="J24" t="str">
        <x:f>IF(OR(C24="Town",C24="Village"),"Urban","Non-Urban")</x:f>
        <x:v>Urban</x:v>
      </x:c>
    </x:row>
    <x:row r="25">
      <x:c r="A25" t="str">
        <x:v>SK14 6HN</x:v>
      </x:c>
      <x:c r="B25" t="str">
        <x:v>Semi-detatched</x:v>
      </x:c>
      <x:c r="C25" t="str">
        <x:v>Remote</x:v>
      </x:c>
      <x:c r="D25" t="n">
        <x:v>2</x:v>
      </x:c>
      <x:c r="E25" t="n">
        <x:v>2</x:v>
      </x:c>
      <x:c r="F25" t="n">
        <x:v>1</x:v>
      </x:c>
      <x:c r="G25" t="str">
        <x:v>small</x:v>
      </x:c>
      <x:c r="H25" s="2" t="n">
        <x:v>43104</x:v>
      </x:c>
      <x:c r="I25" t="n">
        <x:f>D25+E25+F25</x:f>
        <x:v>5</x:v>
      </x:c>
      <x:c r="J25" t="str">
        <x:f>IF(OR(C25="Town",C25="Village"),"Urban","Non-Urban")</x:f>
        <x:v>Non-Urban</x:v>
      </x:c>
    </x:row>
    <x:row r="26">
      <x:c r="A26" t="str">
        <x:v>SK23 3KM</x:v>
      </x:c>
      <x:c r="B26" t="str">
        <x:v>Terraced</x:v>
      </x:c>
      <x:c r="C26" t="str">
        <x:v>Remote</x:v>
      </x:c>
      <x:c r="D26" t="n">
        <x:v>2</x:v>
      </x:c>
      <x:c r="E26" t="n">
        <x:v>1</x:v>
      </x:c>
      <x:c r="F26" t="n">
        <x:v>1</x:v>
      </x:c>
      <x:c r="G26" t="str">
        <x:v>Small</x:v>
      </x:c>
      <x:c r="H26" s="2" t="n">
        <x:v>42980</x:v>
      </x:c>
      <x:c r="I26" t="n">
        <x:f>D26+E26+F26</x:f>
        <x:v>4</x:v>
      </x:c>
      <x:c r="J26" t="str">
        <x:f>IF(OR(C26="Town",C26="Village"),"Urban","Non-Urban")</x:f>
        <x:v>Non-Urban</x:v>
      </x:c>
    </x:row>
    <x:row r="27">
      <x:c r="A27" t="str">
        <x:v>SK13 6YH</x:v>
      </x:c>
      <x:c r="B27" t="str">
        <x:v>Bungalow</x:v>
      </x:c>
      <x:c r="C27" t="str">
        <x:v>Countryside</x:v>
      </x:c>
      <x:c r="D27" t="n">
        <x:v>3</x:v>
      </x:c>
      <x:c r="E27" t="n">
        <x:v>2</x:v>
      </x:c>
      <x:c r="F27" t="n">
        <x:v>2</x:v>
      </x:c>
      <x:c r="G27" t="str">
        <x:v>Large</x:v>
      </x:c>
      <x:c r="H27" s="2" t="n">
        <x:v>42993</x:v>
      </x:c>
      <x:c r="I27" t="n">
        <x:f>D27+E27+F27</x:f>
        <x:v>7</x:v>
      </x:c>
      <x:c r="J27" t="str">
        <x:f>IF(OR(C27="Town",C27="Village"),"Urban","Non-Urban")</x:f>
        <x:v>Non-Urban</x:v>
      </x:c>
    </x:row>
    <x:row r="28">
      <x:c r="A28" t="str">
        <x:v>SK23 5WW</x:v>
      </x:c>
      <x:c r="B28" t="str">
        <x:v>Bungalow</x:v>
      </x:c>
      <x:c r="C28" t="str">
        <x:v>Countryside</x:v>
      </x:c>
      <x:c r="D28" t="n">
        <x:v>3</x:v>
      </x:c>
      <x:c r="E28" t="n">
        <x:v>2</x:v>
      </x:c>
      <x:c r="F28" t="n">
        <x:v>2</x:v>
      </x:c>
      <x:c r="G28" t="str">
        <x:v>Large</x:v>
      </x:c>
      <x:c r="H28" s="2" t="n">
        <x:v>43025</x:v>
      </x:c>
      <x:c r="I28" t="n">
        <x:f>D28+E28+F28</x:f>
        <x:v>7</x:v>
      </x:c>
      <x:c r="J28" t="str">
        <x:f>IF(OR(C28="Town",C28="Village"),"Urban","Non-Urban")</x:f>
        <x:v>Non-Urban</x:v>
      </x:c>
    </x:row>
    <x:row r="29">
      <x:c r="A29" t="str">
        <x:v>SK13 8FS</x:v>
      </x:c>
      <x:c r="B29" t="str">
        <x:v>Terraced</x:v>
      </x:c>
      <x:c r="C29" t="str">
        <x:v>Countryside</x:v>
      </x:c>
      <x:c r="D29" t="n">
        <x:v>2</x:v>
      </x:c>
      <x:c r="E29" t="n">
        <x:v>1</x:v>
      </x:c>
      <x:c r="F29" t="n">
        <x:v>1</x:v>
      </x:c>
      <x:c r="G29" t="str">
        <x:v>Small</x:v>
      </x:c>
      <x:c r="H29" s="2" t="n">
        <x:v>42970</x:v>
      </x:c>
      <x:c r="I29" t="n">
        <x:f>D29+E29+F29</x:f>
        <x:v>4</x:v>
      </x:c>
      <x:c r="J29" t="str">
        <x:f>IF(OR(C29="Town",C29="Village"),"Urban","Non-Urban")</x:f>
        <x:v>Non-Urban</x:v>
      </x:c>
    </x:row>
    <x:row r="30">
      <x:c r="A30" t="str">
        <x:v>SK13 4RL</x:v>
      </x:c>
      <x:c r="B30" t="str">
        <x:v>Semi-detatched</x:v>
      </x:c>
      <x:c r="C30" t="str">
        <x:v>Town</x:v>
      </x:c>
      <x:c r="D30" t="n">
        <x:v>3</x:v>
      </x:c>
      <x:c r="E30" t="n">
        <x:v>2</x:v>
      </x:c>
      <x:c r="F30" t="n">
        <x:v>2</x:v>
      </x:c>
      <x:c r="G30" t="str">
        <x:v>Medium</x:v>
      </x:c>
      <x:c r="H30" s="2" t="n">
        <x:v>43111</x:v>
      </x:c>
      <x:c r="I30" t="n">
        <x:f>D30+E30+F30</x:f>
        <x:v>7</x:v>
      </x:c>
      <x:c r="J30" t="str">
        <x:f>IF(OR(C30="Town",C30="Village"),"Urban","Non-Urban")</x:f>
        <x:v>Urban</x:v>
      </x:c>
    </x:row>
    <x:row r="31">
      <x:c r="A31" t="str">
        <x:v>SK14 7YT</x:v>
      </x:c>
      <x:c r="B31" t="str">
        <x:v>Detatched</x:v>
      </x:c>
      <x:c r="C31" t="str">
        <x:v>Remote</x:v>
      </x:c>
      <x:c r="D31" t="n">
        <x:v>4</x:v>
      </x:c>
      <x:c r="E31" t="n">
        <x:v>2</x:v>
      </x:c>
      <x:c r="F31" t="n">
        <x:v>2</x:v>
      </x:c>
      <x:c r="G31" t="str">
        <x:v>Medium</x:v>
      </x:c>
      <x:c r="H31" s="2" t="n">
        <x:v>43039</x:v>
      </x:c>
      <x:c r="I31" t="n">
        <x:f>D31+E31+F31</x:f>
        <x:v>8</x:v>
      </x:c>
      <x:c r="J31" t="str">
        <x:f>IF(OR(C31="Town",C31="Village"),"Urban","Non-Urban")</x:f>
        <x:v>Non-Urban</x:v>
      </x:c>
    </x:row>
    <x:row r="32">
      <x:c r="A32" t="str">
        <x:v>SK13 5EE</x:v>
      </x:c>
      <x:c r="B32" t="str">
        <x:v>Semi-detatched</x:v>
      </x:c>
      <x:c r="C32" t="str">
        <x:v>Countryside</x:v>
      </x:c>
      <x:c r="D32" t="n">
        <x:v>3</x:v>
      </x:c>
      <x:c r="E32" t="n">
        <x:v>2</x:v>
      </x:c>
      <x:c r="F32" t="n">
        <x:v>1</x:v>
      </x:c>
      <x:c r="G32" t="str">
        <x:v>Medium</x:v>
      </x:c>
      <x:c r="H32" s="2" t="n">
        <x:v>42989</x:v>
      </x:c>
      <x:c r="I32" t="n">
        <x:f>D32+E32+F32</x:f>
        <x:v>6</x:v>
      </x:c>
      <x:c r="J32" t="str">
        <x:f>IF(OR(C32="Town",C32="Village"),"Urban","Non-Urban")</x:f>
        <x:v>Non-Urban</x:v>
      </x:c>
    </x:row>
    <x:row r="33">
      <x:c r="A33" t="str">
        <x:v>SK23 4VS</x:v>
      </x:c>
      <x:c r="B33" t="str">
        <x:v>Detatched</x:v>
      </x:c>
      <x:c r="C33" t="str">
        <x:v>Town</x:v>
      </x:c>
      <x:c r="D33" t="n">
        <x:v>4</x:v>
      </x:c>
      <x:c r="E33" t="n">
        <x:v>1</x:v>
      </x:c>
      <x:c r="F33" t="n">
        <x:v>2</x:v>
      </x:c>
      <x:c r="G33" t="str">
        <x:v>Large</x:v>
      </x:c>
      <x:c r="H33" s="2" t="n">
        <x:v>42983</x:v>
      </x:c>
      <x:c r="I33" t="n">
        <x:f>D33+E33+F33</x:f>
        <x:v>7</x:v>
      </x:c>
      <x:c r="J33" t="str">
        <x:f>IF(OR(C33="Town",C33="Village"),"Urban","Non-Urban")</x:f>
        <x:v>Urban</x:v>
      </x:c>
    </x:row>
    <x:row r="34">
      <x:c r="A34" t="str">
        <x:v>SK16 8NV</x:v>
      </x:c>
      <x:c r="B34" t="str">
        <x:v>Terraced</x:v>
      </x:c>
      <x:c r="C34" t="str">
        <x:v>Town</x:v>
      </x:c>
      <x:c r="D34" t="n">
        <x:v>2</x:v>
      </x:c>
      <x:c r="E34" t="n">
        <x:v>1</x:v>
      </x:c>
      <x:c r="F34" t="n">
        <x:v>1</x:v>
      </x:c>
      <x:c r="G34" t="str">
        <x:v>Small</x:v>
      </x:c>
      <x:c r="H34" s="2" t="n">
        <x:v>42949</x:v>
      </x:c>
      <x:c r="I34" t="n">
        <x:f>D34+E34+F34</x:f>
        <x:v>4</x:v>
      </x:c>
      <x:c r="J34" t="str">
        <x:f>IF(OR(C34="Town",C34="Village"),"Urban","Non-Urban")</x:f>
        <x:v>Urban</x:v>
      </x:c>
    </x:row>
    <x:row r="35">
      <x:c r="A35" t="str">
        <x:v>SK14 3DD</x:v>
      </x:c>
      <x:c r="B35" t="str">
        <x:v>Semi-detatched</x:v>
      </x:c>
      <x:c r="C35" t="str">
        <x:v>Town</x:v>
      </x:c>
      <x:c r="D35" t="n">
        <x:v>3</x:v>
      </x:c>
      <x:c r="E35" t="n">
        <x:v>2</x:v>
      </x:c>
      <x:c r="F35" t="n">
        <x:v>2</x:v>
      </x:c>
      <x:c r="G35" t="str">
        <x:v>Medium</x:v>
      </x:c>
      <x:c r="H35" s="2" t="n">
        <x:v>42953</x:v>
      </x:c>
      <x:c r="I35" t="n">
        <x:f>D35+E35+F35</x:f>
        <x:v>7</x:v>
      </x:c>
      <x:c r="J35" t="str">
        <x:f>IF(OR(C35="Town",C35="Village"),"Urban","Non-Urban")</x:f>
        <x:v>Urban</x:v>
      </x:c>
    </x:row>
    <x:row r="36">
      <x:c r="A36" t="str">
        <x:v>SK13 4DE</x:v>
      </x:c>
      <x:c r="B36" t="str">
        <x:v>Terraced</x:v>
      </x:c>
      <x:c r="C36" t="str">
        <x:v>Town</x:v>
      </x:c>
      <x:c r="D36" t="n">
        <x:v>2</x:v>
      </x:c>
      <x:c r="E36" t="n">
        <x:v>1</x:v>
      </x:c>
      <x:c r="F36" t="n">
        <x:v>1</x:v>
      </x:c>
      <x:c r="G36" t="str">
        <x:v>Small</x:v>
      </x:c>
      <x:c r="H36" s="2" t="n">
        <x:v>42919</x:v>
      </x:c>
      <x:c r="I36" t="n">
        <x:f>D36+E36+F36</x:f>
        <x:v>4</x:v>
      </x:c>
      <x:c r="J36" t="str">
        <x:f>IF(OR(C36="Town",C36="Village"),"Urban","Non-Urban")</x:f>
        <x:v>Urban</x:v>
      </x:c>
    </x:row>
    <x:row r="37">
      <x:c r="A37" t="str">
        <x:v>SK13 6LK</x:v>
      </x:c>
      <x:c r="B37" t="str">
        <x:v>Detatched</x:v>
      </x:c>
      <x:c r="C37" t="str">
        <x:v>Countryside</x:v>
      </x:c>
      <x:c r="D37" t="n">
        <x:v>4</x:v>
      </x:c>
      <x:c r="E37" t="n">
        <x:v>2</x:v>
      </x:c>
      <x:c r="F37" t="n">
        <x:v>2</x:v>
      </x:c>
      <x:c r="G37" t="str">
        <x:v>Large</x:v>
      </x:c>
      <x:c r="H37" s="2" t="n">
        <x:v>42971</x:v>
      </x:c>
      <x:c r="I37" t="n">
        <x:f>D37+E37+F37</x:f>
        <x:v>8</x:v>
      </x:c>
      <x:c r="J37" t="str">
        <x:f>IF(OR(C37="Town",C37="Village"),"Urban","Non-Urban")</x:f>
        <x:v>Non-Urban</x:v>
      </x:c>
    </x:row>
    <x:row r="38">
      <x:c r="A38" t="str">
        <x:v>SK13 9PF</x:v>
      </x:c>
      <x:c r="B38" t="str">
        <x:v>Semi-detatched</x:v>
      </x:c>
      <x:c r="C38" t="str">
        <x:v>Countryside</x:v>
      </x:c>
      <x:c r="D38" t="n">
        <x:v>3</x:v>
      </x:c>
      <x:c r="E38" t="n">
        <x:v>2</x:v>
      </x:c>
      <x:c r="F38" t="n">
        <x:v>2</x:v>
      </x:c>
      <x:c r="G38" t="str">
        <x:v>Medium</x:v>
      </x:c>
      <x:c r="H38" s="2" t="n">
        <x:v>42935</x:v>
      </x:c>
      <x:c r="I38" t="n">
        <x:f>D38+E38+F38</x:f>
        <x:v>7</x:v>
      </x:c>
      <x:c r="J38" t="str">
        <x:f>IF(OR(C38="Town",C38="Village"),"Urban","Non-Urban")</x:f>
        <x:v>Non-Urban</x:v>
      </x:c>
    </x:row>
    <x:row r="39">
      <x:c r="A39" t="str">
        <x:v>SK14 8BM</x:v>
      </x:c>
      <x:c r="B39" t="str">
        <x:v>Detatched</x:v>
      </x:c>
      <x:c r="C39" t="str">
        <x:v>Remote</x:v>
      </x:c>
      <x:c r="D39" t="n">
        <x:v>3</x:v>
      </x:c>
      <x:c r="E39" t="n">
        <x:v>2</x:v>
      </x:c>
      <x:c r="F39" t="n">
        <x:v>2</x:v>
      </x:c>
      <x:c r="G39" t="str">
        <x:v>Large</x:v>
      </x:c>
      <x:c r="H39" s="2" t="n">
        <x:v>42970</x:v>
      </x:c>
      <x:c r="I39" t="n">
        <x:f>D39+E39+F39</x:f>
        <x:v>7</x:v>
      </x:c>
      <x:c r="J39" t="str">
        <x:f>IF(OR(C39="Town",C39="Village"),"Urban","Non-Urban")</x:f>
        <x:v>Non-Urban</x:v>
      </x:c>
    </x:row>
    <x:row r="40">
      <x:c r="A40" t="str">
        <x:v>SK14 6DH</x:v>
      </x:c>
      <x:c r="B40" t="str">
        <x:v>Semi-detatched</x:v>
      </x:c>
      <x:c r="C40" t="str">
        <x:v>Countryside</x:v>
      </x:c>
      <x:c r="D40" t="n">
        <x:v>3</x:v>
      </x:c>
      <x:c r="E40" t="n">
        <x:v>2</x:v>
      </x:c>
      <x:c r="F40" t="n">
        <x:v>2</x:v>
      </x:c>
      <x:c r="G40" t="str">
        <x:v>Medium</x:v>
      </x:c>
      <x:c r="H40" s="2" t="n">
        <x:v>43055</x:v>
      </x:c>
      <x:c r="I40" t="n">
        <x:f>D40+E40+F40</x:f>
        <x:v>7</x:v>
      </x:c>
      <x:c r="J40" t="str">
        <x:f>IF(OR(C40="Town",C40="Village"),"Urban","Non-Urban")</x:f>
        <x:v>Non-Urban</x:v>
      </x:c>
    </x:row>
    <x:row r="41">
      <x:c r="A41" t="str">
        <x:v>SK13 3SS</x:v>
      </x:c>
      <x:c r="B41" t="str">
        <x:v>Terraced</x:v>
      </x:c>
      <x:c r="C41" t="str">
        <x:v>Town</x:v>
      </x:c>
      <x:c r="D41" t="n">
        <x:v>2</x:v>
      </x:c>
      <x:c r="E41" t="n">
        <x:v>1</x:v>
      </x:c>
      <x:c r="F41" t="n">
        <x:v>1</x:v>
      </x:c>
      <x:c r="G41" t="str">
        <x:v>Small</x:v>
      </x:c>
      <x:c r="H41" s="2" t="n">
        <x:v>43011</x:v>
      </x:c>
      <x:c r="I41" t="n">
        <x:f>D41+E41+F41</x:f>
        <x:v>4</x:v>
      </x:c>
      <x:c r="J41" t="str">
        <x:f>IF(OR(C41="Town",C41="Village"),"Urban","Non-Urban")</x:f>
        <x:v>Urban</x:v>
      </x:c>
    </x:row>
    <x:row r="42">
      <x:c r="A42" t="str">
        <x:v>SK13 6YH</x:v>
      </x:c>
      <x:c r="B42" t="str">
        <x:v>Bungalow</x:v>
      </x:c>
      <x:c r="C42" t="str">
        <x:v>Countryside</x:v>
      </x:c>
      <x:c r="D42" t="n">
        <x:v>3</x:v>
      </x:c>
      <x:c r="E42" t="n">
        <x:v>2</x:v>
      </x:c>
      <x:c r="F42" t="n">
        <x:v>2</x:v>
      </x:c>
      <x:c r="G42" t="str">
        <x:v>Large</x:v>
      </x:c>
      <x:c r="H42" s="2" t="n">
        <x:v>42993</x:v>
      </x:c>
      <x:c r="I42" t="n">
        <x:f>D42+E42+F42</x:f>
        <x:v>7</x:v>
      </x:c>
      <x:c r="J42" t="str">
        <x:f>IF(OR(C42="Town",C42="Village"),"Urban","Non-Urban")</x:f>
        <x:v>Non-Urban</x:v>
      </x:c>
    </x:row>
    <x:row r="43">
      <x:c r="A43" t="str">
        <x:v>SK13 4AK</x:v>
      </x:c>
      <x:c r="B43" t="str">
        <x:v>Bungalow</x:v>
      </x:c>
      <x:c r="C43" t="str">
        <x:v>Countryside</x:v>
      </x:c>
      <x:c r="D43" t="n">
        <x:v>3</x:v>
      </x:c>
      <x:c r="E43" t="n">
        <x:v>2</x:v>
      </x:c>
      <x:c r="F43" t="n">
        <x:v>2</x:v>
      </x:c>
      <x:c r="G43" t="str">
        <x:v>Large</x:v>
      </x:c>
      <x:c r="H43" s="2" t="n">
        <x:v>42962</x:v>
      </x:c>
      <x:c r="I43" t="n">
        <x:f>D43+E43+F43</x:f>
        <x:v>7</x:v>
      </x:c>
      <x:c r="J43" t="str">
        <x:f>IF(OR(C43="Town",C43="Village"),"Urban","Non-Urban")</x:f>
        <x:v>Non-Urban</x:v>
      </x:c>
    </x:row>
    <x:row r="44">
      <x:c r="A44" t="str">
        <x:v>SK13 4XC</x:v>
      </x:c>
      <x:c r="B44" t="str">
        <x:v>Semi-detatched</x:v>
      </x:c>
      <x:c r="C44" t="str">
        <x:v>Countryside</x:v>
      </x:c>
      <x:c r="D44" t="n">
        <x:v>3</x:v>
      </x:c>
      <x:c r="E44" t="n">
        <x:v>2</x:v>
      </x:c>
      <x:c r="F44" t="n">
        <x:v>2</x:v>
      </x:c>
      <x:c r="G44" t="str">
        <x:v>Medium</x:v>
      </x:c>
      <x:c r="H44" s="2" t="n">
        <x:v>42927</x:v>
      </x:c>
      <x:c r="I44" t="n">
        <x:f>D44+E44+F44</x:f>
        <x:v>7</x:v>
      </x:c>
      <x:c r="J44" t="str">
        <x:f>IF(OR(C44="Town",C44="Village"),"Urban","Non-Urban")</x:f>
        <x:v>Non-Urban</x:v>
      </x:c>
    </x:row>
    <x:row r="45">
      <x:c r="A45" t="str">
        <x:v>SK14 6RL</x:v>
      </x:c>
      <x:c r="B45" t="str">
        <x:v>Detatched</x:v>
      </x:c>
      <x:c r="C45" t="str">
        <x:v>Remote</x:v>
      </x:c>
      <x:c r="D45" t="n">
        <x:v>4</x:v>
      </x:c>
      <x:c r="E45" t="n">
        <x:v>2</x:v>
      </x:c>
      <x:c r="F45" t="n">
        <x:v>2</x:v>
      </x:c>
      <x:c r="G45" t="str">
        <x:v>Medium</x:v>
      </x:c>
      <x:c r="H45" s="2" t="n">
        <x:v>42950</x:v>
      </x:c>
      <x:c r="I45" t="n">
        <x:f>D45+E45+F45</x:f>
        <x:v>8</x:v>
      </x:c>
      <x:c r="J45" t="str">
        <x:f>IF(OR(C45="Town",C45="Village"),"Urban","Non-Urban")</x:f>
        <x:v>Non-Urban</x:v>
      </x:c>
    </x:row>
    <x:row r="46">
      <x:c r="A46" t="str">
        <x:v>SK13 7PJ</x:v>
      </x:c>
      <x:c r="B46" t="str">
        <x:v>Semi-detatched</x:v>
      </x:c>
      <x:c r="C46" t="str">
        <x:v>Countryside</x:v>
      </x:c>
      <x:c r="D46" t="n">
        <x:v>3</x:v>
      </x:c>
      <x:c r="E46" t="n">
        <x:v>2</x:v>
      </x:c>
      <x:c r="F46" t="n">
        <x:v>2</x:v>
      </x:c>
      <x:c r="G46" t="str">
        <x:v>Medium</x:v>
      </x:c>
      <x:c r="H46" s="2" t="n">
        <x:v>43004</x:v>
      </x:c>
      <x:c r="I46" t="n">
        <x:f>D46+E46+F46</x:f>
        <x:v>7</x:v>
      </x:c>
      <x:c r="J46" t="str">
        <x:f>IF(OR(C46="Town",C46="Village"),"Urban","Non-Urban")</x:f>
        <x:v>Non-Urban</x:v>
      </x:c>
    </x:row>
    <x:row r="47">
      <x:c r="A47" t="str">
        <x:v>SK13 6FD</x:v>
      </x:c>
      <x:c r="B47" t="str">
        <x:v>Semi-detatched</x:v>
      </x:c>
      <x:c r="C47" t="str">
        <x:v>Town</x:v>
      </x:c>
      <x:c r="D47" t="n">
        <x:v>4</x:v>
      </x:c>
      <x:c r="E47" t="n">
        <x:v>2</x:v>
      </x:c>
      <x:c r="F47" t="n">
        <x:v>1</x:v>
      </x:c>
      <x:c r="G47" t="str">
        <x:v>Medium</x:v>
      </x:c>
      <x:c r="H47" s="2" t="n">
        <x:v>42952</x:v>
      </x:c>
      <x:c r="I47" t="n">
        <x:f>D47+E47+F47</x:f>
        <x:v>7</x:v>
      </x:c>
      <x:c r="J47" t="str">
        <x:f>IF(OR(C47="Town",C47="Village"),"Urban","Non-Urban")</x:f>
        <x:v>Urban</x:v>
      </x:c>
    </x:row>
    <x:row r="48">
      <x:c r="A48" t="str">
        <x:v>SK14 3FD</x:v>
      </x:c>
      <x:c r="B48" t="str">
        <x:v>Detatched</x:v>
      </x:c>
      <x:c r="C48" t="str">
        <x:v>Town</x:v>
      </x:c>
      <x:c r="D48" t="n">
        <x:v>3</x:v>
      </x:c>
      <x:c r="E48" t="n">
        <x:v>1</x:v>
      </x:c>
      <x:c r="F48" t="n">
        <x:v>2</x:v>
      </x:c>
      <x:c r="G48" t="str">
        <x:v>Small</x:v>
      </x:c>
      <x:c r="H48" s="2" t="n">
        <x:v>42930</x:v>
      </x:c>
      <x:c r="I48" t="n">
        <x:f>D48+E48+F48</x:f>
        <x:v>6</x:v>
      </x:c>
      <x:c r="J48" t="str">
        <x:f>IF(OR(C48="Town",C48="Village"),"Urban","Non-Urban")</x:f>
        <x:v>Urban</x:v>
      </x:c>
    </x:row>
    <x:row r="49">
      <x:c r="A49" t="str">
        <x:v>SK13 2WD</x:v>
      </x:c>
      <x:c r="B49" t="str">
        <x:v>Detatched</x:v>
      </x:c>
      <x:c r="C49" t="str">
        <x:v>Town</x:v>
      </x:c>
      <x:c r="D49" t="n">
        <x:v>3</x:v>
      </x:c>
      <x:c r="E49" t="n">
        <x:v>2</x:v>
      </x:c>
      <x:c r="F49" t="n">
        <x:v>2</x:v>
      </x:c>
      <x:c r="G49" t="str">
        <x:v>Medium</x:v>
      </x:c>
      <x:c r="H49" s="2" t="n">
        <x:v>42910</x:v>
      </x:c>
      <x:c r="I49" t="n">
        <x:f>D49+E49+F49</x:f>
        <x:v>7</x:v>
      </x:c>
      <x:c r="J49" t="str">
        <x:f>IF(OR(C49="Town",C49="Village"),"Urban","Non-Urban")</x:f>
        <x:v>Urban</x:v>
      </x:c>
    </x:row>
    <x:row r="50">
      <x:c r="A50" t="str">
        <x:v>SK22 1XV</x:v>
      </x:c>
      <x:c r="B50" t="str">
        <x:v>Terraced</x:v>
      </x:c>
      <x:c r="C50" t="str">
        <x:v>Countryside</x:v>
      </x:c>
      <x:c r="D50" t="n">
        <x:v>2</x:v>
      </x:c>
      <x:c r="E50" t="n">
        <x:v>1</x:v>
      </x:c>
      <x:c r="F50" t="n">
        <x:v>1</x:v>
      </x:c>
      <x:c r="G50" t="str">
        <x:v>Small</x:v>
      </x:c>
      <x:c r="H50" s="2" t="n">
        <x:v>43023</x:v>
      </x:c>
      <x:c r="I50" t="n">
        <x:f>D50+E50+F50</x:f>
        <x:v>4</x:v>
      </x:c>
      <x:c r="J50" t="str">
        <x:f>IF(OR(C50="Town",C50="Village"),"Urban","Non-Urban")</x:f>
        <x:v>Non-Urban</x:v>
      </x:c>
    </x:row>
    <x:row r="51">
      <x:c r="A51" t="str">
        <x:v>SK13 5LS</x:v>
      </x:c>
      <x:c r="B51" t="str">
        <x:v>Semi-detatched</x:v>
      </x:c>
      <x:c r="C51" t="str">
        <x:v>Town</x:v>
      </x:c>
      <x:c r="D51" t="n">
        <x:v>3</x:v>
      </x:c>
      <x:c r="E51" t="n">
        <x:v>2</x:v>
      </x:c>
      <x:c r="F51" t="n">
        <x:v>2</x:v>
      </x:c>
      <x:c r="G51" t="str">
        <x:v>Medium</x:v>
      </x:c>
      <x:c r="H51" s="2" t="n">
        <x:v>42920</x:v>
      </x:c>
      <x:c r="I51" t="n">
        <x:f>D51+E51+F51</x:f>
        <x:v>7</x:v>
      </x:c>
      <x:c r="J51" t="str">
        <x:f>IF(OR(C51="Town",C51="Village"),"Urban","Non-Urban")</x:f>
        <x:v>Urban</x:v>
      </x:c>
    </x:row>
    <x:row r="52">
      <x:c r="A52" t="str">
        <x:v>SK13 6YH</x:v>
      </x:c>
      <x:c r="B52" t="str">
        <x:v>Bungalow</x:v>
      </x:c>
      <x:c r="C52" t="str">
        <x:v>Countryside</x:v>
      </x:c>
      <x:c r="D52" t="n">
        <x:v>3</x:v>
      </x:c>
      <x:c r="E52" t="n">
        <x:v>2</x:v>
      </x:c>
      <x:c r="F52" t="n">
        <x:v>2</x:v>
      </x:c>
      <x:c r="G52" t="str">
        <x:v>Large</x:v>
      </x:c>
      <x:c r="H52" s="2" t="n">
        <x:v>42993</x:v>
      </x:c>
      <x:c r="I52" t="n">
        <x:f>D52+E52+F52</x:f>
        <x:v>7</x:v>
      </x:c>
      <x:c r="J52" t="str">
        <x:f>IF(OR(C52="Town",C52="Village"),"Urban","Non-Urban")</x:f>
        <x:v>Non-Urban</x:v>
      </x:c>
    </x:row>
    <x:row r="53">
      <x:c r="A53" t="str">
        <x:v>SK13 6HH</x:v>
      </x:c>
      <x:c r="B53" t="str">
        <x:v>Semi-detatched</x:v>
      </x:c>
      <x:c r="C53" t="str">
        <x:v>Countryside</x:v>
      </x:c>
      <x:c r="D53" t="n">
        <x:v>2</x:v>
      </x:c>
      <x:c r="E53" t="n">
        <x:v>2</x:v>
      </x:c>
      <x:c r="F53" t="n">
        <x:v>2</x:v>
      </x:c>
      <x:c r="G53" t="str">
        <x:v>Medium</x:v>
      </x:c>
      <x:c r="H53" s="2" t="n">
        <x:v>42979</x:v>
      </x:c>
      <x:c r="I53" t="n">
        <x:f>D53+E53+F53</x:f>
        <x:v>6</x:v>
      </x:c>
      <x:c r="J53" t="str">
        <x:f>IF(OR(C53="Town",C53="Village"),"Urban","Non-Urban")</x:f>
        <x:v>Non-Urban</x:v>
      </x:c>
    </x:row>
    <x:row r="54">
      <x:c r="A54" t="str">
        <x:v>SK14 8GP</x:v>
      </x:c>
      <x:c r="B54" t="str">
        <x:v>Bungalow</x:v>
      </x:c>
      <x:c r="C54" t="str">
        <x:v>Remote</x:v>
      </x:c>
      <x:c r="D54" t="n">
        <x:v>3</x:v>
      </x:c>
      <x:c r="E54" t="n">
        <x:v>2</x:v>
      </x:c>
      <x:c r="F54" t="n">
        <x:v>2</x:v>
      </x:c>
      <x:c r="G54" t="str">
        <x:v>Large</x:v>
      </x:c>
      <x:c r="H54" s="2" t="n">
        <x:v>43020</x:v>
      </x:c>
      <x:c r="I54" t="n">
        <x:f>D54+E54+F54</x:f>
        <x:v>7</x:v>
      </x:c>
      <x:c r="J54" t="str">
        <x:f>IF(OR(C54="Town",C54="Village"),"Urban","Non-Urban")</x:f>
        <x:v>Non-Urban</x:v>
      </x:c>
    </x:row>
    <x:row r="55">
      <x:c r="A55" t="str">
        <x:v>SK15 6YW</x:v>
      </x:c>
      <x:c r="B55" t="str">
        <x:v>Detatched</x:v>
      </x:c>
      <x:c r="C55" t="str">
        <x:v>Countryside</x:v>
      </x:c>
      <x:c r="D55" t="n">
        <x:v>4</x:v>
      </x:c>
      <x:c r="E55" t="n">
        <x:v>2</x:v>
      </x:c>
      <x:c r="F55" t="n">
        <x:v>2</x:v>
      </x:c>
      <x:c r="G55" t="str">
        <x:v>Large</x:v>
      </x:c>
      <x:c r="H55" s="2" t="n">
        <x:v>43038</x:v>
      </x:c>
      <x:c r="I55" t="n">
        <x:f>D55+E55+F55</x:f>
        <x:v>8</x:v>
      </x:c>
      <x:c r="J55" t="str">
        <x:f>IF(OR(C55="Town",C55="Village"),"Urban","Non-Urban")</x:f>
        <x:v>Non-Urban</x:v>
      </x:c>
    </x:row>
    <x:row r="56">
      <x:c r="A56" t="str">
        <x:v>SK13 4DD</x:v>
      </x:c>
      <x:c r="B56" t="str">
        <x:v>Semi-detatched</x:v>
      </x:c>
      <x:c r="C56" t="str">
        <x:v>Town</x:v>
      </x:c>
      <x:c r="D56" t="n">
        <x:v>3</x:v>
      </x:c>
      <x:c r="E56" t="n">
        <x:v>2</x:v>
      </x:c>
      <x:c r="F56" t="n">
        <x:v>1</x:v>
      </x:c>
      <x:c r="G56" t="str">
        <x:v>Medium</x:v>
      </x:c>
      <x:c r="H56" s="2" t="n">
        <x:v>42892</x:v>
      </x:c>
      <x:c r="I56" t="n">
        <x:f>D56+E56+F56</x:f>
        <x:v>6</x:v>
      </x:c>
      <x:c r="J56" t="str">
        <x:f>IF(OR(C56="Town",C56="Village"),"Urban","Non-Urban")</x:f>
        <x:v>Urban</x:v>
      </x:c>
    </x:row>
    <x:row r="57">
      <x:c r="A57" t="str">
        <x:v>SK13 4RF</x:v>
      </x:c>
      <x:c r="B57" t="str">
        <x:v>Bungalow</x:v>
      </x:c>
      <x:c r="C57" t="str">
        <x:v>Town</x:v>
      </x:c>
      <x:c r="D57" t="n">
        <x:v>2</x:v>
      </x:c>
      <x:c r="E57" t="n">
        <x:v>1</x:v>
      </x:c>
      <x:c r="F57" t="n">
        <x:v>1</x:v>
      </x:c>
      <x:c r="G57" t="str">
        <x:v>Small</x:v>
      </x:c>
      <x:c r="H57" s="2" t="n">
        <x:v>43132</x:v>
      </x:c>
      <x:c r="I57" t="n">
        <x:f>D57+E57+F57</x:f>
        <x:v>4</x:v>
      </x:c>
      <x:c r="J57" t="str">
        <x:f>IF(OR(C57="Town",C57="Village"),"Urban","Non-Urban")</x:f>
        <x:v>Urban</x:v>
      </x:c>
    </x:row>
  </x:sheetData>
  <x:pageMargins left="0.7" right="0.7" top="0.75" bottom="0.75" header="0.3" footer="0.3"/>
  <x:tableParts count="1">
    <x:tablePart xmlns:r="http://schemas.openxmlformats.org/officeDocument/2006/relationships" r:id="R995ab8f372234f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6" t="str">
        <x:v>Property Pivot Analysis</x:v>
      </x:c>
      <x:c r="B1" s="6"/>
      <x:c r="C1" s="6"/>
      <x:c r="D1" s="6"/>
      <x:c r="E1" s="6"/>
    </x:row>
    <x:row r="2">
      <x:c r="A2" s="19" t="str">
        <x:v>Total Rooms by Location and Garden Size</x:v>
      </x:c>
      <x:c r="B2" s="19"/>
      <x:c r="C2" s="19"/>
      <x:c r="D2" s="19"/>
      <x:c r="E2" s="19"/>
    </x:row>
    <x:row r="3">
      <x:c r="A3" s="14" t="str">
        <x:v>Location</x:v>
      </x:c>
      <x:c r="B3" s="14" t="str">
        <x:v>None</x:v>
      </x:c>
      <x:c r="C3" s="14" t="str">
        <x:v>Small</x:v>
      </x:c>
      <x:c r="D3" s="14" t="str">
        <x:v>Medium</x:v>
      </x:c>
      <x:c r="E3" s="14" t="str">
        <x:v>Large</x:v>
      </x:c>
    </x:row>
    <x:row r="4">
      <x:c r="A4" t="str">
        <x:v>Town</x:v>
      </x:c>
      <x:c r="B4" t="n">
        <x:f>SUMIFS('Property Data'!$I$2:$I$57,'Property Data'!$C$2:$C$57,$A4,'Property Data'!$G$2:$G$57,B$3)</x:f>
        <x:v>7</x:v>
      </x:c>
      <x:c r="C4" t="n">
        <x:f>SUMIFS('Property Data'!$I$2:$I$57,'Property Data'!$C$2:$C$57,$A4,'Property Data'!$G$2:$G$57,C$3)</x:f>
        <x:v>39</x:v>
      </x:c>
      <x:c r="D4" t="n">
        <x:f>SUMIFS('Property Data'!$I$2:$I$57,'Property Data'!$C$2:$C$57,$A4,'Property Data'!$G$2:$G$57,D$3)</x:f>
        <x:v>84</x:v>
      </x:c>
      <x:c r="E4" t="n">
        <x:f>SUMIFS('Property Data'!$I$2:$I$57,'Property Data'!$C$2:$C$57,$A4,'Property Data'!$G$2:$G$57,E$3)</x:f>
        <x:v>15</x:v>
      </x:c>
    </x:row>
    <x:row r="5">
      <x:c r="A5" t="str">
        <x:v>Village</x:v>
      </x:c>
      <x:c r="B5" t="n">
        <x:f>SUMIFS('Property Data'!$I$2:$I$57,'Property Data'!$C$2:$C$57,$A5,'Property Data'!$G$2:$G$57,B$3)</x:f>
        <x:v>0</x:v>
      </x:c>
      <x:c r="C5" t="n">
        <x:f>SUMIFS('Property Data'!$I$2:$I$57,'Property Data'!$C$2:$C$57,$A5,'Property Data'!$G$2:$G$57,C$3)</x:f>
        <x:v>6</x:v>
      </x:c>
      <x:c r="D5" t="n">
        <x:f>SUMIFS('Property Data'!$I$2:$I$57,'Property Data'!$C$2:$C$57,$A5,'Property Data'!$G$2:$G$57,D$3)</x:f>
        <x:v>0</x:v>
      </x:c>
      <x:c r="E5" t="n">
        <x:f>SUMIFS('Property Data'!$I$2:$I$57,'Property Data'!$C$2:$C$57,$A5,'Property Data'!$G$2:$G$57,E$3)</x:f>
        <x:v>6</x:v>
      </x:c>
    </x:row>
    <x:row r="6">
      <x:c r="A6" t="str">
        <x:v>Countryside</x:v>
      </x:c>
      <x:c r="B6" t="n">
        <x:f>SUMIFS('Property Data'!$I$2:$I$57,'Property Data'!$C$2:$C$57,$A6,'Property Data'!$G$2:$G$57,B$3)</x:f>
        <x:v>0</x:v>
      </x:c>
      <x:c r="C6" t="n">
        <x:f>SUMIFS('Property Data'!$I$2:$I$57,'Property Data'!$C$2:$C$57,$A6,'Property Data'!$G$2:$G$57,C$3)</x:f>
        <x:v>13</x:v>
      </x:c>
      <x:c r="D6" t="n">
        <x:f>SUMIFS('Property Data'!$I$2:$I$57,'Property Data'!$C$2:$C$57,$A6,'Property Data'!$G$2:$G$57,D$3)</x:f>
        <x:v>53</x:v>
      </x:c>
      <x:c r="E6" t="n">
        <x:f>SUMIFS('Property Data'!$I$2:$I$57,'Property Data'!$C$2:$C$57,$A6,'Property Data'!$G$2:$G$57,E$3)</x:f>
        <x:v>82</x:v>
      </x:c>
    </x:row>
    <x:row r="7">
      <x:c r="A7" t="str">
        <x:v>Remote</x:v>
      </x:c>
      <x:c r="B7" t="n">
        <x:f>SUMIFS('Property Data'!$I$2:$I$57,'Property Data'!$C$2:$C$57,$A7,'Property Data'!$G$2:$G$57,B$3)</x:f>
        <x:v>0</x:v>
      </x:c>
      <x:c r="C7" t="n">
        <x:f>SUMIFS('Property Data'!$I$2:$I$57,'Property Data'!$C$2:$C$57,$A7,'Property Data'!$G$2:$G$57,C$3)</x:f>
        <x:v>4</x:v>
      </x:c>
      <x:c r="D7" t="n">
        <x:f>SUMIFS('Property Data'!$I$2:$I$57,'Property Data'!$C$2:$C$57,$A7,'Property Data'!$G$2:$G$57,D$3)</x:f>
        <x:v>16</x:v>
      </x:c>
      <x:c r="E7" t="n">
        <x:f>SUMIFS('Property Data'!$I$2:$I$57,'Property Data'!$C$2:$C$57,$A7,'Property Data'!$G$2:$G$57,E$3)</x:f>
        <x:v>30</x:v>
      </x:c>
    </x:row>
    <x:row r="11">
      <x:c r="A11" s="19" t="str">
        <x:v>Garden Size as % of Properties by Grouped Location</x:v>
      </x:c>
      <x:c r="B11" s="19"/>
      <x:c r="C11" s="19"/>
      <x:c r="D11" s="19"/>
      <x:c r="E11" s="19"/>
    </x:row>
    <x:row r="12">
      <x:c r="A12" s="14" t="str">
        <x:v>Location Group</x:v>
      </x:c>
      <x:c r="B12" s="14" t="str">
        <x:v>None</x:v>
      </x:c>
      <x:c r="C12" s="14" t="str">
        <x:v>Small</x:v>
      </x:c>
      <x:c r="D12" s="14" t="str">
        <x:v>Medium</x:v>
      </x:c>
      <x:c r="E12" s="14" t="str">
        <x:v>Large</x:v>
      </x:c>
    </x:row>
    <x:row r="13">
      <x:c r="A13" t="str">
        <x:v>Urban</x:v>
      </x:c>
      <x:c r="B13" s="10" t="n">
        <x:f>COUNTIFS('Property Data'!$J$2:$J$57,$A13,'Property Data'!$G$2:$G$57,B$12)/COUNTIF('Property Data'!$J$2:$J$57,$A13)</x:f>
        <x:v>0.07692307692307693</x:v>
      </x:c>
      <x:c r="C13" s="10" t="n">
        <x:f>COUNTIFS('Property Data'!$J$2:$J$57,$A13,'Property Data'!$G$2:$G$57,C$12)/COUNTIF('Property Data'!$J$2:$J$57,$A13)</x:f>
        <x:v>0.34615384615384615</x:v>
      </x:c>
      <x:c r="D13" s="10" t="n">
        <x:f>COUNTIFS('Property Data'!$J$2:$J$57,$A13,'Property Data'!$G$2:$G$57,D$12)/COUNTIF('Property Data'!$J$2:$J$57,$A13)</x:f>
        <x:v>0.46153846153846156</x:v>
      </x:c>
      <x:c r="E13" s="10" t="n">
        <x:f>COUNTIFS('Property Data'!$J$2:$J$57,$A13,'Property Data'!$G$2:$G$57,E$12)/COUNTIF('Property Data'!$J$2:$J$57,$A13)</x:f>
        <x:v>0.11538461538461539</x:v>
      </x:c>
    </x:row>
    <x:row r="14">
      <x:c r="A14" t="str">
        <x:v>Non-Urban</x:v>
      </x:c>
      <x:c r="B14" s="10" t="n">
        <x:f>COUNTIFS('Property Data'!$J$2:$J$57,$A14,'Property Data'!$G$2:$G$57,B$12)/COUNTIF('Property Data'!$J$2:$J$57,$A14)</x:f>
        <x:v>0</x:v>
      </x:c>
      <x:c r="C14" s="10" t="n">
        <x:f>COUNTIFS('Property Data'!$J$2:$J$57,$A14,'Property Data'!$G$2:$G$57,C$12)/COUNTIF('Property Data'!$J$2:$J$57,$A14)</x:f>
        <x:v>0.16666666666666666</x:v>
      </x:c>
      <x:c r="D14" s="10" t="n">
        <x:f>COUNTIFS('Property Data'!$J$2:$J$57,$A14,'Property Data'!$G$2:$G$57,D$12)/COUNTIF('Property Data'!$J$2:$J$57,$A14)</x:f>
        <x:v>0.3333333333333333</x:v>
      </x:c>
      <x:c r="E14" s="10" t="n">
        <x:f>COUNTIFS('Property Data'!$J$2:$J$57,$A14,'Property Data'!$G$2:$G$57,E$12)/COUNTIF('Property Data'!$J$2:$J$57,$A14)</x:f>
        <x:v>0.5</x:v>
      </x:c>
    </x:row>
  </x:sheetData>
  <x:mergeCells>
    <x:mergeCell ref="A1:E1"/>
    <x:mergeCell ref="A2:E2"/>
    <x:mergeCell ref="A11:E11"/>
  </x:mergeCells>
  <x:pageMargins left="0.7" right="0.7" top="0.75" bottom="0.75" header="0.3" footer="0.3"/>
  <x:drawing xmlns:r="http://schemas.openxmlformats.org/officeDocument/2006/relationships" r:id="Re0bc547fca4541db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6" t="str">
        <x:v>Exercise</x:v>
      </x:c>
      <x:c r="B1" s="27" t="str">
        <x:v>Analyse property data in a pivot table including a calculated field and grouping</x:v>
      </x:c>
    </x:row>
    <x:row r="2">
      <x:c r="A2" s="26" t="str">
        <x:v>Required saved name</x:v>
      </x:c>
      <x:c r="B2" s="27" t="str">
        <x:v>Throw-er pivot chart.xlsx</x:v>
      </x:c>
    </x:row>
    <x:row r="3">
      <x:c r="A3" s="26" t="str">
        <x:v>Calculated field</x:v>
      </x:c>
      <x:c r="B3" s="27" t="str">
        <x:v>Total Rooms = Bedrooms + Bathrooms + Reception Rooms</x:v>
      </x:c>
    </x:row>
    <x:row r="4">
      <x:c r="A4" s="26" t="str">
        <x:v>Grouping</x:v>
      </x:c>
      <x:c r="B4" s="27" t="str">
        <x:v>Urban = Town/Village; Non-Urban = Countryside/Remote</x:v>
      </x:c>
    </x:row>
    <x:row r="5">
      <x:c r="A5" s="26" t="str">
        <x:v>Final view</x:v>
      </x:c>
      <x:c r="B5" s="27" t="str">
        <x:v>Garden size as percentage of properties within each grouped location</x:v>
      </x:c>
    </x:row>
    <x:row r="6">
      <x:c r="A6" s="26" t="str">
        <x:v>Source exercise</x:v>
      </x:c>
      <x:c r="B6" s="27" t="str">
        <x:v>https://www.wiseowl.co.uk/excel/exercises/standard/pivot-tables/4884/</x:v>
      </x:c>
    </x:row>
    <x:row r="7">
      <x:c r="A7" s="26" t="str">
        <x:v>Dataset reference</x:v>
      </x:c>
      <x:c r="B7" s="27" t="str">
        <x:v>https://www.scribd.com/document/469026992/Property-Portfolio-Pivot</x:v>
      </x:c>
    </x:row>
    <x:row r="8">
      <x:c r="A8" s="26" t="str">
        <x:v>Note</x:v>
      </x:c>
      <x:c r="B8" s="27" t="str">
        <x:v>Recreated from the public exercise data because the original qf-3832 workbook was not included in the submission.</x:v>
      </x:c>
    </x:row>
  </x:sheetData>
  <x:pageMargins left="0.7" right="0.7" top="0.75" bottom="0.75" header="0.3" footer="0.3"/>
</x:worksheet>
</file>